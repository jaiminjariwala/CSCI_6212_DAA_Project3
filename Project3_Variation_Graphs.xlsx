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yakowta/Downloads/"/>
    </mc:Choice>
  </mc:AlternateContent>
  <xr:revisionPtr revIDLastSave="0" documentId="8_{CCEBD5B0-F650-184B-A107-439B7544B0F2}" xr6:coauthVersionLast="47" xr6:coauthVersionMax="47" xr10:uidLastSave="{00000000-0000-0000-0000-000000000000}"/>
  <bookViews>
    <workbookView xWindow="0" yWindow="740" windowWidth="29400" windowHeight="18380" activeTab="2" xr2:uid="{A468A403-A409-46DB-8199-913BD7D7C0B1}"/>
  </bookViews>
  <sheets>
    <sheet name="Constant N" sheetId="3" r:id="rId1"/>
    <sheet name="Constant K" sheetId="1" r:id="rId2"/>
    <sheet name="Vary both (2)" sheetId="4" r:id="rId3"/>
    <sheet name="Vary both" sheetId="2" r:id="rId4"/>
  </sheets>
  <definedNames>
    <definedName name="_xlchart.v1.0" hidden="1">'Constant N'!$A$2:$A$8</definedName>
    <definedName name="_xlchart.v1.1" hidden="1">'Constant N'!$B$1</definedName>
    <definedName name="_xlchart.v1.2" hidden="1">'Constant N'!$B$2:$B$8</definedName>
    <definedName name="_xlchart.v1.3" hidden="1">'Constant N'!$C$1</definedName>
    <definedName name="_xlchart.v1.4" hidden="1">'Constant N'!$C$2:$C$8</definedName>
    <definedName name="_xlchart.v1.5" hidden="1">'Constant N'!$A$2:$A$8</definedName>
    <definedName name="_xlchart.v1.6" hidden="1">'Constant N'!$B$1</definedName>
    <definedName name="_xlchart.v1.7" hidden="1">'Constant N'!$B$2:$B$8</definedName>
    <definedName name="_xlchart.v1.8" hidden="1">'Constant N'!$C$1</definedName>
    <definedName name="_xlchart.v1.9" hidden="1">'Constant N'!$C$2:$C$8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C2" i="4"/>
  <c r="E2" i="2"/>
  <c r="F9" i="2" s="1"/>
  <c r="C3" i="2"/>
  <c r="C4" i="2"/>
  <c r="C8" i="2"/>
  <c r="C5" i="2"/>
  <c r="C6" i="2"/>
  <c r="C7" i="2"/>
  <c r="C9" i="2"/>
  <c r="C2" i="2"/>
  <c r="C4" i="3"/>
  <c r="C5" i="3"/>
  <c r="C6" i="3"/>
  <c r="C7" i="3"/>
  <c r="C8" i="3"/>
  <c r="C3" i="3"/>
  <c r="C2" i="3"/>
  <c r="D2" i="3"/>
  <c r="D2" i="1"/>
  <c r="C2" i="1" s="1"/>
  <c r="D3" i="1"/>
  <c r="C4" i="1"/>
  <c r="D4" i="1"/>
  <c r="C5" i="1"/>
  <c r="D5" i="1"/>
  <c r="C6" i="1"/>
  <c r="D6" i="1"/>
  <c r="D7" i="1"/>
  <c r="D8" i="1"/>
  <c r="C9" i="1"/>
  <c r="D9" i="1"/>
  <c r="C10" i="1"/>
  <c r="D10" i="1"/>
  <c r="C11" i="1"/>
  <c r="D11" i="1"/>
  <c r="D12" i="1"/>
  <c r="D13" i="1"/>
  <c r="C14" i="1"/>
  <c r="D14" i="1"/>
  <c r="C15" i="1"/>
  <c r="D15" i="1"/>
  <c r="C16" i="1"/>
  <c r="D16" i="1"/>
  <c r="D17" i="1"/>
  <c r="E2" i="4" l="1"/>
  <c r="F7" i="2"/>
  <c r="F8" i="2"/>
  <c r="F4" i="2"/>
  <c r="F3" i="2"/>
  <c r="F2" i="2"/>
  <c r="F6" i="2"/>
  <c r="F5" i="2"/>
  <c r="C13" i="1"/>
  <c r="C8" i="1"/>
  <c r="C3" i="1"/>
  <c r="C17" i="1"/>
  <c r="C12" i="1"/>
  <c r="C7" i="1"/>
  <c r="F7" i="4" l="1"/>
  <c r="F5" i="4"/>
  <c r="F4" i="4"/>
  <c r="F8" i="4"/>
  <c r="F2" i="4"/>
  <c r="F6" i="4"/>
  <c r="F3" i="4"/>
</calcChain>
</file>

<file path=xl/sharedStrings.xml><?xml version="1.0" encoding="utf-8"?>
<sst xmlns="http://schemas.openxmlformats.org/spreadsheetml/2006/main" count="22" uniqueCount="9">
  <si>
    <t>n</t>
  </si>
  <si>
    <t>Execution Time (s)</t>
  </si>
  <si>
    <t>Fitted Value (c × n)</t>
  </si>
  <si>
    <t xml:space="preserve">scaling factor </t>
  </si>
  <si>
    <t>k</t>
  </si>
  <si>
    <t>n * k</t>
  </si>
  <si>
    <t>Scaling Factor</t>
  </si>
  <si>
    <t>Fitted Value (c_k *k)</t>
  </si>
  <si>
    <t>Fitted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</si>
</sst>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Vs k (n = 1000)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'Constant N'!$B$1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'Constant N'!$A$2:$A$8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</c:numCache>
            </c:numRef>
          </c:xVal>
          <c:yVal>
            <c:numRef>
              <c:f>'Constant N'!$B$2:$B$8</c:f>
              <c:numCache>
                <c:formatCode>General</c:formatCode>
                <c:ptCount val="7"/>
                <c:pt idx="0">
                  <c:v>4.6129999999999999E-3</c:v>
                </c:pt>
                <c:pt idx="1">
                  <c:v>1.7741E-2</c:v>
                </c:pt>
                <c:pt idx="2">
                  <c:v>3.4693000000000002E-2</c:v>
                </c:pt>
                <c:pt idx="3">
                  <c:v>6.5656999999999993E-2</c:v>
                </c:pt>
                <c:pt idx="4">
                  <c:v>0.149004</c:v>
                </c:pt>
                <c:pt idx="5">
                  <c:v>0.21388499999999999</c:v>
                </c:pt>
                <c:pt idx="6">
                  <c:v>0.24476000000000001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4-A047-AB2B-A826AE382373}"/>
            </c:ext>
          </c:extLst>
        </c:ser>
        <c:ser>
          <c:idx val="1"/>
          <c:order val="1"/>
          <c:tx>
            <c:strRef>
              <c:f>'Constant N'!$C$1</c:f>
              <c:strCache>
                <c:ptCount val="1"/>
                <c:pt idx="0">
                  <c:v>Fitted Value (c_k *k)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'Constant N'!$A$2:$A$8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800</c:v>
                </c:pt>
                <c:pt idx="6">
                  <c:v>1000</c:v>
                </c:pt>
              </c:numCache>
            </c:numRef>
          </c:xVal>
          <c:yVal>
            <c:numRef>
              <c:f>'Constant N'!$C$2:$C$8</c:f>
              <c:numCache>
                <c:formatCode>General</c:formatCode>
                <c:ptCount val="7"/>
                <c:pt idx="0">
                  <c:v>2.6145571913929783E-3</c:v>
                </c:pt>
                <c:pt idx="1">
                  <c:v>1.3072785956964891E-2</c:v>
                </c:pt>
                <c:pt idx="2">
                  <c:v>2.6145571913929782E-2</c:v>
                </c:pt>
                <c:pt idx="3">
                  <c:v>5.2291143827859564E-2</c:v>
                </c:pt>
                <c:pt idx="4">
                  <c:v>0.13072785956964891</c:v>
                </c:pt>
                <c:pt idx="5">
                  <c:v>0.20916457531143826</c:v>
                </c:pt>
                <c:pt idx="6">
                  <c:v>0.26145571913929783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14-A047-AB2B-A826AE38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440816"/>
        <c:axId val="669442528"/>
      </c:scatterChart>
      <c:valAx>
        <c:axId val="66944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42528"/>
        <c:crosses val="autoZero"/>
        <c:crossBetween val="midCat"/>
      </c:valAx>
      <c:valAx>
        <c:axId val="6694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4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Execution Time vs Theoretical Linear Growth
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'Constant K'!$B$1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'Constant K'!$A$2:$A$22</c:f>
              <c:numCache>
                <c:formatCode>General</c:formatCode>
                <c:ptCount val="2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2200</c:v>
                </c:pt>
                <c:pt idx="12">
                  <c:v>2500</c:v>
                </c:pt>
                <c:pt idx="13">
                  <c:v>3000</c:v>
                </c:pt>
                <c:pt idx="14">
                  <c:v>5000</c:v>
                </c:pt>
                <c:pt idx="15">
                  <c:v>5500</c:v>
                </c:pt>
              </c:numCache>
            </c:numRef>
          </c:xVal>
          <c:yVal>
            <c:numRef>
              <c:f>'Constant K'!$B$2:$B$22</c:f>
              <c:numCache>
                <c:formatCode>General</c:formatCode>
                <c:ptCount val="21"/>
                <c:pt idx="0">
                  <c:v>8.2000000000000001E-5</c:v>
                </c:pt>
                <c:pt idx="1">
                  <c:v>3.6499999999999998E-4</c:v>
                </c:pt>
                <c:pt idx="2">
                  <c:v>1.719E-3</c:v>
                </c:pt>
                <c:pt idx="3">
                  <c:v>2.147E-3</c:v>
                </c:pt>
                <c:pt idx="4">
                  <c:v>2.2629999999999998E-3</c:v>
                </c:pt>
                <c:pt idx="5">
                  <c:v>3.2919999999999998E-3</c:v>
                </c:pt>
                <c:pt idx="6">
                  <c:v>8.0230000000000006E-3</c:v>
                </c:pt>
                <c:pt idx="7">
                  <c:v>8.2019999999999992E-3</c:v>
                </c:pt>
                <c:pt idx="8">
                  <c:v>1.5692999999999999E-2</c:v>
                </c:pt>
                <c:pt idx="9">
                  <c:v>1.4572999999999999E-2</c:v>
                </c:pt>
                <c:pt idx="10">
                  <c:v>2.2647E-2</c:v>
                </c:pt>
                <c:pt idx="11">
                  <c:v>1.9324000000000001E-2</c:v>
                </c:pt>
                <c:pt idx="12">
                  <c:v>2.2727000000000001E-2</c:v>
                </c:pt>
                <c:pt idx="13">
                  <c:v>3.1705999999999998E-2</c:v>
                </c:pt>
                <c:pt idx="14">
                  <c:v>4.6299E-2</c:v>
                </c:pt>
                <c:pt idx="15">
                  <c:v>5.1346000000000003E-2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9-4137-8B72-D93246B71685}"/>
            </c:ext>
          </c:extLst>
        </c:ser>
        <c:ser>
          <c:idx val="1"/>
          <c:order val="1"/>
          <c:tx>
            <c:strRef>
              <c:f>'Constant K'!$C$1</c:f>
              <c:strCache>
                <c:ptCount val="1"/>
                <c:pt idx="0">
                  <c:v>Fitted Value (c × 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'Constant K'!$A$2:$A$22</c:f>
              <c:numCache>
                <c:formatCode>General</c:formatCode>
                <c:ptCount val="2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1000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2200</c:v>
                </c:pt>
                <c:pt idx="12">
                  <c:v>2500</c:v>
                </c:pt>
                <c:pt idx="13">
                  <c:v>3000</c:v>
                </c:pt>
                <c:pt idx="14">
                  <c:v>5000</c:v>
                </c:pt>
                <c:pt idx="15">
                  <c:v>5500</c:v>
                </c:pt>
              </c:numCache>
            </c:numRef>
          </c:xVal>
          <c:yVal>
            <c:numRef>
              <c:f>'Constant K'!$C$2:$C$22</c:f>
              <c:numCache>
                <c:formatCode>General</c:formatCode>
                <c:ptCount val="21"/>
                <c:pt idx="0">
                  <c:v>9.513435648393398E-5</c:v>
                </c:pt>
                <c:pt idx="1">
                  <c:v>4.756717824196699E-4</c:v>
                </c:pt>
                <c:pt idx="2">
                  <c:v>9.513435648393398E-4</c:v>
                </c:pt>
                <c:pt idx="3">
                  <c:v>1.9026871296786796E-3</c:v>
                </c:pt>
                <c:pt idx="4">
                  <c:v>2.8540306945180195E-3</c:v>
                </c:pt>
                <c:pt idx="5">
                  <c:v>3.8053742593573592E-3</c:v>
                </c:pt>
                <c:pt idx="6">
                  <c:v>4.7567178241966985E-3</c:v>
                </c:pt>
                <c:pt idx="7">
                  <c:v>9.5134356483933969E-3</c:v>
                </c:pt>
                <c:pt idx="8">
                  <c:v>1.4270153472590096E-2</c:v>
                </c:pt>
                <c:pt idx="9">
                  <c:v>1.5221497037429437E-2</c:v>
                </c:pt>
                <c:pt idx="10">
                  <c:v>1.9026871296786794E-2</c:v>
                </c:pt>
                <c:pt idx="11">
                  <c:v>2.0929558426465475E-2</c:v>
                </c:pt>
                <c:pt idx="12">
                  <c:v>2.3783589120983495E-2</c:v>
                </c:pt>
                <c:pt idx="13">
                  <c:v>2.8540306945180192E-2</c:v>
                </c:pt>
                <c:pt idx="14">
                  <c:v>4.756717824196699E-2</c:v>
                </c:pt>
                <c:pt idx="15">
                  <c:v>5.2323896066163687E-2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19-4137-8B72-D93246B71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757408"/>
        <c:axId val="1558756992"/>
      </c:scatterChart>
      <c:valAx>
        <c:axId val="155875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56992"/>
        <c:crosses val="autoZero"/>
        <c:crossBetween val="midCat"/>
      </c:valAx>
      <c:valAx>
        <c:axId val="155875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5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Execution Time vs n * k (Both n and k Vary)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'Vary both (2)'!$D$1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'Vary both (2)'!$C$2:$C$9</c:f>
              <c:numCache>
                <c:formatCode>General</c:formatCode>
                <c:ptCount val="8"/>
                <c:pt idx="0">
                  <c:v>250000</c:v>
                </c:pt>
                <c:pt idx="1">
                  <c:v>100000</c:v>
                </c:pt>
                <c:pt idx="2">
                  <c:v>400000</c:v>
                </c:pt>
                <c:pt idx="3">
                  <c:v>600000</c:v>
                </c:pt>
                <c:pt idx="4">
                  <c:v>1400000</c:v>
                </c:pt>
                <c:pt idx="5">
                  <c:v>800000</c:v>
                </c:pt>
                <c:pt idx="6">
                  <c:v>2000000</c:v>
                </c:pt>
              </c:numCache>
            </c:numRef>
          </c:xVal>
          <c:yVal>
            <c:numRef>
              <c:f>'Vary both (2)'!$D$2:$D$9</c:f>
              <c:numCache>
                <c:formatCode>General</c:formatCode>
                <c:ptCount val="8"/>
                <c:pt idx="0">
                  <c:v>4.1814999999999998E-2</c:v>
                </c:pt>
                <c:pt idx="1">
                  <c:v>2.8958999999999999E-2</c:v>
                </c:pt>
                <c:pt idx="2">
                  <c:v>0.113497</c:v>
                </c:pt>
                <c:pt idx="3">
                  <c:v>0.174648</c:v>
                </c:pt>
                <c:pt idx="4">
                  <c:v>0.40201399999999998</c:v>
                </c:pt>
                <c:pt idx="5">
                  <c:v>0.272067</c:v>
                </c:pt>
                <c:pt idx="6">
                  <c:v>0.64656499999999995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0-FA40-A981-78B1557E2C61}"/>
            </c:ext>
          </c:extLst>
        </c:ser>
        <c:ser>
          <c:idx val="1"/>
          <c:order val="1"/>
          <c:tx>
            <c:strRef>
              <c:f>'Vary both (2)'!$F$1</c:f>
              <c:strCache>
                <c:ptCount val="1"/>
                <c:pt idx="0">
                  <c:v>Fitted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'Vary both (2)'!$C$2:$C$9</c:f>
              <c:numCache>
                <c:formatCode>General</c:formatCode>
                <c:ptCount val="8"/>
                <c:pt idx="0">
                  <c:v>250000</c:v>
                </c:pt>
                <c:pt idx="1">
                  <c:v>100000</c:v>
                </c:pt>
                <c:pt idx="2">
                  <c:v>400000</c:v>
                </c:pt>
                <c:pt idx="3">
                  <c:v>600000</c:v>
                </c:pt>
                <c:pt idx="4">
                  <c:v>1400000</c:v>
                </c:pt>
                <c:pt idx="5">
                  <c:v>800000</c:v>
                </c:pt>
                <c:pt idx="6">
                  <c:v>2000000</c:v>
                </c:pt>
              </c:numCache>
            </c:numRef>
          </c:xVal>
          <c:yVal>
            <c:numRef>
              <c:f>'Vary both (2)'!$F$2:$F$9</c:f>
              <c:numCache>
                <c:formatCode>General</c:formatCode>
                <c:ptCount val="8"/>
                <c:pt idx="0">
                  <c:v>7.7759487313173448E-2</c:v>
                </c:pt>
                <c:pt idx="1">
                  <c:v>3.1103794925269379E-2</c:v>
                </c:pt>
                <c:pt idx="2">
                  <c:v>0.12441517970107752</c:v>
                </c:pt>
                <c:pt idx="3">
                  <c:v>0.18662276955161627</c:v>
                </c:pt>
                <c:pt idx="4">
                  <c:v>0.43545312895377131</c:v>
                </c:pt>
                <c:pt idx="5">
                  <c:v>0.24883035940215503</c:v>
                </c:pt>
                <c:pt idx="6">
                  <c:v>0.62207589850538758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90-FA40-A981-78B1557E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631264"/>
        <c:axId val="669603824"/>
      </c:scatterChart>
      <c:valAx>
        <c:axId val="6696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*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03824"/>
        <c:crosses val="autoZero"/>
        <c:crossBetween val="midCat"/>
      </c:valAx>
      <c:valAx>
        <c:axId val="66960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3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Execution Time vs n * k (Both n and k Vary)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'Vary both'!$D$1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'Vary both'!$C$2:$C$9</c:f>
              <c:numCache>
                <c:formatCode>General</c:formatCode>
                <c:ptCount val="8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250000</c:v>
                </c:pt>
                <c:pt idx="5">
                  <c:v>250000</c:v>
                </c:pt>
                <c:pt idx="6">
                  <c:v>1000000</c:v>
                </c:pt>
                <c:pt idx="7">
                  <c:v>1000000</c:v>
                </c:pt>
              </c:numCache>
            </c:numRef>
          </c:xVal>
          <c:yVal>
            <c:numRef>
              <c:f>'Vary both'!$D$2:$D$9</c:f>
              <c:numCache>
                <c:formatCode>General</c:formatCode>
                <c:ptCount val="8"/>
                <c:pt idx="0">
                  <c:v>5.5079000000000003E-2</c:v>
                </c:pt>
                <c:pt idx="1">
                  <c:v>8.0984E-2</c:v>
                </c:pt>
                <c:pt idx="2">
                  <c:v>9.0380000000000002E-2</c:v>
                </c:pt>
                <c:pt idx="3">
                  <c:v>5.4587999999999998E-2</c:v>
                </c:pt>
                <c:pt idx="4">
                  <c:v>8.2575999999999997E-2</c:v>
                </c:pt>
                <c:pt idx="5">
                  <c:v>8.9051000000000005E-2</c:v>
                </c:pt>
                <c:pt idx="6">
                  <c:v>0.24618599999999999</c:v>
                </c:pt>
                <c:pt idx="7">
                  <c:v>0.24223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D-554D-9A7C-3A527289B2FB}"/>
            </c:ext>
          </c:extLst>
        </c:ser>
        <c:ser>
          <c:idx val="1"/>
          <c:order val="1"/>
          <c:tx>
            <c:strRef>
              <c:f>'Vary both'!$F$1</c:f>
              <c:strCache>
                <c:ptCount val="1"/>
                <c:pt idx="0">
                  <c:v>Fitted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'Vary both'!$C$2:$C$9</c:f>
              <c:numCache>
                <c:formatCode>General</c:formatCode>
                <c:ptCount val="8"/>
                <c:pt idx="0">
                  <c:v>250000</c:v>
                </c:pt>
                <c:pt idx="1">
                  <c:v>250000</c:v>
                </c:pt>
                <c:pt idx="2">
                  <c:v>250000</c:v>
                </c:pt>
                <c:pt idx="3">
                  <c:v>250000</c:v>
                </c:pt>
                <c:pt idx="4">
                  <c:v>250000</c:v>
                </c:pt>
                <c:pt idx="5">
                  <c:v>250000</c:v>
                </c:pt>
                <c:pt idx="6">
                  <c:v>1000000</c:v>
                </c:pt>
                <c:pt idx="7">
                  <c:v>1000000</c:v>
                </c:pt>
              </c:numCache>
            </c:numRef>
          </c:xVal>
          <c:yVal>
            <c:numRef>
              <c:f>'Vary both'!$F$2:$F$9</c:f>
              <c:numCache>
                <c:formatCode>General</c:formatCode>
                <c:ptCount val="8"/>
                <c:pt idx="0">
                  <c:v>6.3324263157894745E-2</c:v>
                </c:pt>
                <c:pt idx="1">
                  <c:v>6.3324263157894745E-2</c:v>
                </c:pt>
                <c:pt idx="2">
                  <c:v>6.3324263157894745E-2</c:v>
                </c:pt>
                <c:pt idx="3">
                  <c:v>6.3324263157894745E-2</c:v>
                </c:pt>
                <c:pt idx="4">
                  <c:v>6.3324263157894745E-2</c:v>
                </c:pt>
                <c:pt idx="5">
                  <c:v>6.3324263157894745E-2</c:v>
                </c:pt>
                <c:pt idx="6">
                  <c:v>0.25329705263157898</c:v>
                </c:pt>
                <c:pt idx="7">
                  <c:v>0.25329705263157898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D-554D-9A7C-3A527289B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631264"/>
        <c:axId val="669603824"/>
      </c:scatterChart>
      <c:valAx>
        <c:axId val="6696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*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03824"/>
        <c:crosses val="autoZero"/>
        <c:crossBetween val="midCat"/>
      </c:valAx>
      <c:valAx>
        <c:axId val="66960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</a:t>
                </a:r>
                <a:r>
                  <a:rPr lang="en-US" baseline="0"/>
                  <a:t> 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3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</xdr:row>
      <xdr:rowOff>120650</xdr:rowOff>
    </xdr:from>
    <xdr:to>
      <xdr:col>11</xdr:col>
      <xdr:colOff>279400</xdr:colOff>
      <xdr:row>15</xdr:row>
      <xdr:rowOff>184150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5C3FC2-0634-DA13-944C-7306F1447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161924</xdr:colOff>
      <xdr:row>0</xdr:row>
      <xdr:rowOff>0</xdr:rowOff>
    </xdr:from>
    <xdr:to>
      <xdr:col>16</xdr:col>
      <xdr:colOff>438150</xdr:colOff>
      <xdr:row>21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8B32C-C950-4E6E-8CDF-5AC963B35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13</xdr:row>
      <xdr:rowOff>19050</xdr:rowOff>
    </xdr:from>
    <xdr:to>
      <xdr:col>7</xdr:col>
      <xdr:colOff>393700</xdr:colOff>
      <xdr:row>38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572D2-BF5F-2549-A189-13159890D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635000</xdr:colOff>
      <xdr:row>13</xdr:row>
      <xdr:rowOff>19050</xdr:rowOff>
    </xdr:from>
    <xdr:to>
      <xdr:col>7</xdr:col>
      <xdr:colOff>393700</xdr:colOff>
      <xdr:row>38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13671-1C68-B3F6-955E-A48FC8E5D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861E-4060-9340-952F-5FD762AC62AC}">
  <dimension ref="A1:R22"/>
  <sheetViews>
    <sheetView workbookViewId="0">
      <selection activeCell="N9" sqref="N9"/>
    </sheetView>
  </sheetViews>
  <sheetFormatPr baseColWidth="10" defaultColWidth="8.83203125" defaultRowHeight="15" x14ac:dyDescent="0.2"/>
  <cols>
    <col min="1" max="2" width="21" customWidth="1"/>
    <col min="3" max="3" width="17.83203125" customWidth="1"/>
    <col min="4" max="4" width="11.6640625" bestFit="1" customWidth="1"/>
    <col min="5" max="5" width="11.83203125" bestFit="1" customWidth="1"/>
  </cols>
  <sheetData>
    <row r="1" spans="1:18" ht="16" x14ac:dyDescent="0.2">
      <c r="A1" s="3" t="s">
        <v>4</v>
      </c>
      <c r="B1" s="1" t="s">
        <v>1</v>
      </c>
      <c r="C1" s="4" t="s">
        <v>7</v>
      </c>
      <c r="D1" s="5" t="s">
        <v>6</v>
      </c>
    </row>
    <row r="2" spans="1:18" x14ac:dyDescent="0.2">
      <c r="A2">
        <v>10</v>
      </c>
      <c r="B2" s="2">
        <v>4.6129999999999999E-3</v>
      </c>
      <c r="C2">
        <f>$D$2 * A2</f>
        <v>2.6145571913929783E-3</v>
      </c>
      <c r="D2" s="2">
        <f>SUMPRODUCT(A2:A8, B2:B8) / SUMPRODUCT(A2:A8, A2:A8)</f>
        <v>2.6145571913929782E-4</v>
      </c>
    </row>
    <row r="3" spans="1:18" x14ac:dyDescent="0.2">
      <c r="A3">
        <v>50</v>
      </c>
      <c r="B3" s="2">
        <v>1.7741E-2</v>
      </c>
      <c r="C3">
        <f>$D$2 * A3</f>
        <v>1.3072785956964891E-2</v>
      </c>
      <c r="D3" s="2"/>
    </row>
    <row r="4" spans="1:18" x14ac:dyDescent="0.2">
      <c r="A4">
        <v>100</v>
      </c>
      <c r="B4" s="2">
        <v>3.4693000000000002E-2</v>
      </c>
      <c r="C4">
        <f t="shared" ref="C4:C8" si="0">$D$2 * A4</f>
        <v>2.6145571913929782E-2</v>
      </c>
      <c r="D4" s="2"/>
    </row>
    <row r="5" spans="1:18" x14ac:dyDescent="0.2">
      <c r="A5">
        <v>200</v>
      </c>
      <c r="B5" s="2">
        <v>6.5656999999999993E-2</v>
      </c>
      <c r="C5">
        <f t="shared" si="0"/>
        <v>5.2291143827859564E-2</v>
      </c>
      <c r="D5" s="2"/>
      <c r="P5" s="1"/>
      <c r="Q5" s="1"/>
      <c r="R5" s="1"/>
    </row>
    <row r="6" spans="1:18" x14ac:dyDescent="0.2">
      <c r="A6">
        <v>500</v>
      </c>
      <c r="B6" s="2">
        <v>0.149004</v>
      </c>
      <c r="C6">
        <f t="shared" si="0"/>
        <v>0.13072785956964891</v>
      </c>
      <c r="D6" s="2"/>
      <c r="P6" s="2"/>
      <c r="Q6" s="2"/>
      <c r="R6" s="2"/>
    </row>
    <row r="7" spans="1:18" x14ac:dyDescent="0.2">
      <c r="A7">
        <v>800</v>
      </c>
      <c r="B7" s="2">
        <v>0.21388499999999999</v>
      </c>
      <c r="C7">
        <f t="shared" si="0"/>
        <v>0.20916457531143826</v>
      </c>
      <c r="D7" s="2"/>
      <c r="P7" s="2"/>
      <c r="Q7" s="2"/>
      <c r="R7" s="2"/>
    </row>
    <row r="8" spans="1:18" x14ac:dyDescent="0.2">
      <c r="A8">
        <v>1000</v>
      </c>
      <c r="B8" s="2">
        <v>0.24476000000000001</v>
      </c>
      <c r="C8">
        <f t="shared" si="0"/>
        <v>0.26145571913929783</v>
      </c>
      <c r="D8" s="2"/>
      <c r="P8" s="2"/>
      <c r="Q8" s="2"/>
      <c r="R8" s="2"/>
    </row>
    <row r="9" spans="1:18" x14ac:dyDescent="0.2">
      <c r="C9" s="2"/>
      <c r="D9" s="2"/>
      <c r="P9" s="2"/>
      <c r="Q9" s="2"/>
      <c r="R9" s="2"/>
    </row>
    <row r="10" spans="1:18" x14ac:dyDescent="0.2">
      <c r="C10" s="2"/>
      <c r="D10" s="2"/>
      <c r="P10" s="2"/>
      <c r="Q10" s="2"/>
      <c r="R10" s="2"/>
    </row>
    <row r="11" spans="1:18" x14ac:dyDescent="0.2">
      <c r="C11" s="2"/>
      <c r="D11" s="2"/>
      <c r="P11" s="2"/>
      <c r="Q11" s="2"/>
      <c r="R11" s="2"/>
    </row>
    <row r="12" spans="1:18" x14ac:dyDescent="0.2">
      <c r="C12" s="2"/>
      <c r="D12" s="2"/>
      <c r="P12" s="2"/>
      <c r="Q12" s="2"/>
      <c r="R12" s="2"/>
    </row>
    <row r="13" spans="1:18" x14ac:dyDescent="0.2">
      <c r="C13" s="2"/>
      <c r="D13" s="2"/>
      <c r="P13" s="2"/>
      <c r="Q13" s="2"/>
      <c r="R13" s="2"/>
    </row>
    <row r="14" spans="1:18" ht="16" x14ac:dyDescent="0.2">
      <c r="A14" s="1" t="s">
        <v>0</v>
      </c>
      <c r="B14" s="3" t="s">
        <v>5</v>
      </c>
      <c r="C14" s="2"/>
      <c r="D14" s="2"/>
      <c r="P14" s="2"/>
      <c r="Q14" s="2"/>
      <c r="R14" s="2"/>
    </row>
    <row r="15" spans="1:18" x14ac:dyDescent="0.2">
      <c r="A15" s="2">
        <v>1000</v>
      </c>
      <c r="B15">
        <v>10000</v>
      </c>
      <c r="C15" s="2"/>
      <c r="D15" s="2"/>
      <c r="P15" s="2"/>
      <c r="Q15" s="2"/>
      <c r="R15" s="2"/>
    </row>
    <row r="16" spans="1:18" x14ac:dyDescent="0.2">
      <c r="A16" s="2"/>
      <c r="B16">
        <v>50000</v>
      </c>
      <c r="C16" s="2"/>
      <c r="D16" s="2"/>
      <c r="F16" s="2"/>
      <c r="G16" s="2"/>
      <c r="H16" s="2"/>
      <c r="I16" s="2"/>
      <c r="P16" s="2"/>
      <c r="Q16" s="2"/>
      <c r="R16" s="2"/>
    </row>
    <row r="17" spans="1:18" x14ac:dyDescent="0.2">
      <c r="A17" s="2"/>
      <c r="B17">
        <v>100000</v>
      </c>
      <c r="C17" s="2"/>
      <c r="D17" s="2"/>
      <c r="F17" s="2"/>
      <c r="G17" s="2"/>
      <c r="H17" s="2"/>
      <c r="I17" s="2"/>
      <c r="P17" s="2"/>
      <c r="Q17" s="2"/>
      <c r="R17" s="2"/>
    </row>
    <row r="18" spans="1:18" x14ac:dyDescent="0.2">
      <c r="A18" s="2"/>
      <c r="B18">
        <v>200000</v>
      </c>
      <c r="F18" s="2"/>
      <c r="G18" s="2"/>
      <c r="H18" s="2"/>
      <c r="I18" s="2"/>
      <c r="P18" s="2"/>
      <c r="Q18" s="2"/>
      <c r="R18" s="2"/>
    </row>
    <row r="19" spans="1:18" x14ac:dyDescent="0.2">
      <c r="A19" s="2"/>
      <c r="B19">
        <v>500000</v>
      </c>
      <c r="F19" s="2"/>
      <c r="G19" s="2"/>
      <c r="H19" s="2"/>
      <c r="I19" s="2"/>
      <c r="P19" s="2"/>
      <c r="Q19" s="2"/>
      <c r="R19" s="2"/>
    </row>
    <row r="20" spans="1:18" x14ac:dyDescent="0.2">
      <c r="A20" s="2"/>
      <c r="B20">
        <v>800000</v>
      </c>
      <c r="F20" s="2"/>
      <c r="G20" s="2"/>
      <c r="H20" s="2"/>
      <c r="I20" s="2"/>
      <c r="P20" s="2"/>
      <c r="Q20" s="2"/>
      <c r="R20" s="2"/>
    </row>
    <row r="21" spans="1:18" x14ac:dyDescent="0.2">
      <c r="A21" s="2"/>
      <c r="B21">
        <v>1000000</v>
      </c>
      <c r="F21" s="2"/>
      <c r="G21" s="2"/>
      <c r="H21" s="2"/>
      <c r="I21" s="2"/>
      <c r="P21" s="2"/>
      <c r="Q21" s="2"/>
      <c r="R21" s="2"/>
    </row>
    <row r="22" spans="1:18" x14ac:dyDescent="0.2">
      <c r="F22" s="2"/>
      <c r="G22" s="2"/>
      <c r="H22" s="2"/>
      <c r="I2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181F-4767-4B41-962F-C43F128DAC5C}">
  <dimension ref="A1:Q22"/>
  <sheetViews>
    <sheetView workbookViewId="0">
      <selection activeCell="F36" sqref="F36"/>
    </sheetView>
  </sheetViews>
  <sheetFormatPr baseColWidth="10" defaultColWidth="8.83203125" defaultRowHeight="15" x14ac:dyDescent="0.2"/>
  <cols>
    <col min="3" max="3" width="11" bestFit="1" customWidth="1"/>
    <col min="4" max="4" width="11.83203125" bestFit="1" customWidth="1"/>
  </cols>
  <sheetData>
    <row r="1" spans="1:17" ht="3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7" x14ac:dyDescent="0.2">
      <c r="A2" s="2">
        <v>10</v>
      </c>
      <c r="B2" s="2">
        <v>8.2000000000000001E-5</v>
      </c>
      <c r="C2" s="2">
        <f>$D$2 * A2</f>
        <v>9.513435648393398E-5</v>
      </c>
      <c r="D2">
        <f>SUMPRODUCT($A$2:$A$17, $B$2:$B$17) / SUMPRODUCT($A$2:$A$17, $A$2:$A$17)</f>
        <v>9.5134356483933977E-6</v>
      </c>
    </row>
    <row r="3" spans="1:17" x14ac:dyDescent="0.2">
      <c r="A3" s="2">
        <v>50</v>
      </c>
      <c r="B3" s="2">
        <v>3.6499999999999998E-4</v>
      </c>
      <c r="C3" s="2">
        <f t="shared" ref="C3:C17" si="0">$D$2 * A3</f>
        <v>4.756717824196699E-4</v>
      </c>
      <c r="D3">
        <f t="shared" ref="D3:D17" si="1">SUMPRODUCT($A$2:$A$17, $B$2:$B$17) / SUMPRODUCT($A$2:$A$17, $A$2:$A$17)</f>
        <v>9.5134356483933977E-6</v>
      </c>
    </row>
    <row r="4" spans="1:17" x14ac:dyDescent="0.2">
      <c r="A4" s="2">
        <v>100</v>
      </c>
      <c r="B4" s="2">
        <v>1.719E-3</v>
      </c>
      <c r="C4" s="2">
        <f t="shared" si="0"/>
        <v>9.513435648393398E-4</v>
      </c>
      <c r="D4">
        <f t="shared" si="1"/>
        <v>9.5134356483933977E-6</v>
      </c>
    </row>
    <row r="5" spans="1:17" x14ac:dyDescent="0.2">
      <c r="A5" s="2">
        <v>200</v>
      </c>
      <c r="B5" s="2">
        <v>2.147E-3</v>
      </c>
      <c r="C5" s="2">
        <f t="shared" si="0"/>
        <v>1.9026871296786796E-3</v>
      </c>
      <c r="D5">
        <f t="shared" si="1"/>
        <v>9.5134356483933977E-6</v>
      </c>
      <c r="O5" s="1"/>
      <c r="P5" s="1"/>
      <c r="Q5" s="1"/>
    </row>
    <row r="6" spans="1:17" x14ac:dyDescent="0.2">
      <c r="A6" s="2">
        <v>300</v>
      </c>
      <c r="B6" s="2">
        <v>2.2629999999999998E-3</v>
      </c>
      <c r="C6" s="2">
        <f t="shared" si="0"/>
        <v>2.8540306945180195E-3</v>
      </c>
      <c r="D6">
        <f t="shared" si="1"/>
        <v>9.5134356483933977E-6</v>
      </c>
      <c r="O6" s="2"/>
      <c r="P6" s="2"/>
      <c r="Q6" s="2"/>
    </row>
    <row r="7" spans="1:17" x14ac:dyDescent="0.2">
      <c r="A7" s="2">
        <v>400</v>
      </c>
      <c r="B7" s="2">
        <v>3.2919999999999998E-3</v>
      </c>
      <c r="C7" s="2">
        <f t="shared" si="0"/>
        <v>3.8053742593573592E-3</v>
      </c>
      <c r="D7">
        <f t="shared" si="1"/>
        <v>9.5134356483933977E-6</v>
      </c>
      <c r="O7" s="2"/>
      <c r="P7" s="2"/>
      <c r="Q7" s="2"/>
    </row>
    <row r="8" spans="1:17" x14ac:dyDescent="0.2">
      <c r="A8" s="2">
        <v>500</v>
      </c>
      <c r="B8" s="2">
        <v>8.0230000000000006E-3</v>
      </c>
      <c r="C8" s="2">
        <f t="shared" si="0"/>
        <v>4.7567178241966985E-3</v>
      </c>
      <c r="D8">
        <f t="shared" si="1"/>
        <v>9.5134356483933977E-6</v>
      </c>
      <c r="O8" s="2"/>
      <c r="P8" s="2"/>
      <c r="Q8" s="2"/>
    </row>
    <row r="9" spans="1:17" x14ac:dyDescent="0.2">
      <c r="A9" s="2">
        <v>1000</v>
      </c>
      <c r="B9" s="2">
        <v>8.2019999999999992E-3</v>
      </c>
      <c r="C9" s="2">
        <f t="shared" si="0"/>
        <v>9.5134356483933969E-3</v>
      </c>
      <c r="D9">
        <f t="shared" si="1"/>
        <v>9.5134356483933977E-6</v>
      </c>
      <c r="O9" s="2"/>
      <c r="P9" s="2"/>
      <c r="Q9" s="2"/>
    </row>
    <row r="10" spans="1:17" x14ac:dyDescent="0.2">
      <c r="A10" s="2">
        <v>1500</v>
      </c>
      <c r="B10" s="2">
        <v>1.5692999999999999E-2</v>
      </c>
      <c r="C10" s="2">
        <f t="shared" si="0"/>
        <v>1.4270153472590096E-2</v>
      </c>
      <c r="D10">
        <f t="shared" si="1"/>
        <v>9.5134356483933977E-6</v>
      </c>
      <c r="O10" s="2"/>
      <c r="P10" s="2"/>
      <c r="Q10" s="2"/>
    </row>
    <row r="11" spans="1:17" x14ac:dyDescent="0.2">
      <c r="A11" s="2">
        <v>1600</v>
      </c>
      <c r="B11" s="2">
        <v>1.4572999999999999E-2</v>
      </c>
      <c r="C11" s="2">
        <f t="shared" si="0"/>
        <v>1.5221497037429437E-2</v>
      </c>
      <c r="D11">
        <f t="shared" si="1"/>
        <v>9.5134356483933977E-6</v>
      </c>
      <c r="O11" s="2"/>
      <c r="P11" s="2"/>
      <c r="Q11" s="2"/>
    </row>
    <row r="12" spans="1:17" x14ac:dyDescent="0.2">
      <c r="A12" s="2">
        <v>2000</v>
      </c>
      <c r="B12" s="2">
        <v>2.2647E-2</v>
      </c>
      <c r="C12" s="2">
        <f t="shared" si="0"/>
        <v>1.9026871296786794E-2</v>
      </c>
      <c r="D12">
        <f t="shared" si="1"/>
        <v>9.5134356483933977E-6</v>
      </c>
      <c r="O12" s="2"/>
      <c r="P12" s="2"/>
      <c r="Q12" s="2"/>
    </row>
    <row r="13" spans="1:17" x14ac:dyDescent="0.2">
      <c r="A13" s="2">
        <v>2200</v>
      </c>
      <c r="B13" s="2">
        <v>1.9324000000000001E-2</v>
      </c>
      <c r="C13" s="2">
        <f t="shared" si="0"/>
        <v>2.0929558426465475E-2</v>
      </c>
      <c r="D13">
        <f t="shared" si="1"/>
        <v>9.5134356483933977E-6</v>
      </c>
      <c r="O13" s="2"/>
      <c r="P13" s="2"/>
      <c r="Q13" s="2"/>
    </row>
    <row r="14" spans="1:17" x14ac:dyDescent="0.2">
      <c r="A14" s="2">
        <v>2500</v>
      </c>
      <c r="B14" s="2">
        <v>2.2727000000000001E-2</v>
      </c>
      <c r="C14" s="2">
        <f t="shared" si="0"/>
        <v>2.3783589120983495E-2</v>
      </c>
      <c r="D14">
        <f t="shared" si="1"/>
        <v>9.5134356483933977E-6</v>
      </c>
      <c r="O14" s="2"/>
      <c r="P14" s="2"/>
      <c r="Q14" s="2"/>
    </row>
    <row r="15" spans="1:17" x14ac:dyDescent="0.2">
      <c r="A15" s="2">
        <v>3000</v>
      </c>
      <c r="B15" s="2">
        <v>3.1705999999999998E-2</v>
      </c>
      <c r="C15" s="2">
        <f t="shared" si="0"/>
        <v>2.8540306945180192E-2</v>
      </c>
      <c r="D15">
        <f t="shared" si="1"/>
        <v>9.5134356483933977E-6</v>
      </c>
      <c r="O15" s="2"/>
      <c r="P15" s="2"/>
      <c r="Q15" s="2"/>
    </row>
    <row r="16" spans="1:17" x14ac:dyDescent="0.2">
      <c r="A16" s="2">
        <v>5000</v>
      </c>
      <c r="B16" s="2">
        <v>4.6299E-2</v>
      </c>
      <c r="C16" s="2">
        <f t="shared" si="0"/>
        <v>4.756717824196699E-2</v>
      </c>
      <c r="D16">
        <f t="shared" si="1"/>
        <v>9.5134356483933977E-6</v>
      </c>
      <c r="E16" s="2"/>
      <c r="F16" s="2"/>
      <c r="G16" s="2"/>
      <c r="H16" s="2"/>
      <c r="O16" s="2"/>
      <c r="P16" s="2"/>
      <c r="Q16" s="2"/>
    </row>
    <row r="17" spans="1:17" x14ac:dyDescent="0.2">
      <c r="A17" s="2">
        <v>5500</v>
      </c>
      <c r="B17" s="2">
        <v>5.1346000000000003E-2</v>
      </c>
      <c r="C17" s="2">
        <f t="shared" si="0"/>
        <v>5.2323896066163687E-2</v>
      </c>
      <c r="D17">
        <f t="shared" si="1"/>
        <v>9.5134356483933977E-6</v>
      </c>
      <c r="E17" s="2"/>
      <c r="F17" s="2"/>
      <c r="G17" s="2"/>
      <c r="H17" s="2"/>
      <c r="O17" s="2"/>
      <c r="P17" s="2"/>
      <c r="Q17" s="2"/>
    </row>
    <row r="18" spans="1:17" x14ac:dyDescent="0.2">
      <c r="E18" s="2"/>
      <c r="F18" s="2"/>
      <c r="G18" s="2"/>
      <c r="H18" s="2"/>
      <c r="O18" s="2"/>
      <c r="P18" s="2"/>
      <c r="Q18" s="2"/>
    </row>
    <row r="19" spans="1:17" x14ac:dyDescent="0.2">
      <c r="E19" s="2"/>
      <c r="F19" s="2"/>
      <c r="G19" s="2"/>
      <c r="H19" s="2"/>
      <c r="O19" s="2"/>
      <c r="P19" s="2"/>
      <c r="Q19" s="2"/>
    </row>
    <row r="20" spans="1:17" x14ac:dyDescent="0.2">
      <c r="E20" s="2"/>
      <c r="F20" s="2"/>
      <c r="G20" s="2"/>
      <c r="H20" s="2"/>
      <c r="O20" s="2"/>
      <c r="P20" s="2"/>
      <c r="Q20" s="2"/>
    </row>
    <row r="21" spans="1:17" x14ac:dyDescent="0.2">
      <c r="E21" s="2"/>
      <c r="F21" s="2"/>
      <c r="G21" s="2"/>
      <c r="H21" s="2"/>
      <c r="O21" s="2"/>
      <c r="P21" s="2"/>
      <c r="Q21" s="2"/>
    </row>
    <row r="22" spans="1:17" x14ac:dyDescent="0.2">
      <c r="E22" s="2"/>
      <c r="F22" s="2"/>
      <c r="G22" s="2"/>
      <c r="H2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8023-38A5-7B43-A784-5E7713C705DA}">
  <dimension ref="A1:Q22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17" customWidth="1"/>
    <col min="3" max="3" width="19.1640625" customWidth="1"/>
    <col min="4" max="4" width="20.83203125" customWidth="1"/>
    <col min="5" max="5" width="20.5" customWidth="1"/>
    <col min="6" max="6" width="26.33203125" customWidth="1"/>
  </cols>
  <sheetData>
    <row r="1" spans="1:17" ht="16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8</v>
      </c>
    </row>
    <row r="2" spans="1:17" x14ac:dyDescent="0.2">
      <c r="A2" s="2">
        <v>400</v>
      </c>
      <c r="B2" s="2">
        <v>625</v>
      </c>
      <c r="C2" s="2">
        <f>A2 * B2</f>
        <v>250000</v>
      </c>
      <c r="D2">
        <v>4.1814999999999998E-2</v>
      </c>
      <c r="E2">
        <f>SUMPRODUCT(C2:C9, D2:D9) / SUMPRODUCT(C2:C9, C2:C9)</f>
        <v>3.1103794925269379E-7</v>
      </c>
      <c r="F2">
        <f>$E$2 * C2</f>
        <v>7.7759487313173448E-2</v>
      </c>
    </row>
    <row r="3" spans="1:17" x14ac:dyDescent="0.2">
      <c r="A3" s="2">
        <v>500</v>
      </c>
      <c r="B3" s="2">
        <v>200</v>
      </c>
      <c r="C3" s="2">
        <f>A3 * B3</f>
        <v>100000</v>
      </c>
      <c r="D3">
        <v>2.8958999999999999E-2</v>
      </c>
      <c r="F3">
        <f>$E$2 * C3</f>
        <v>3.1103794925269379E-2</v>
      </c>
    </row>
    <row r="4" spans="1:17" x14ac:dyDescent="0.2">
      <c r="A4" s="2">
        <v>800</v>
      </c>
      <c r="B4" s="2">
        <v>500</v>
      </c>
      <c r="C4" s="2">
        <f>A4 * B4</f>
        <v>400000</v>
      </c>
      <c r="D4">
        <v>0.113497</v>
      </c>
      <c r="F4">
        <f>$E$2 * C4</f>
        <v>0.12441517970107752</v>
      </c>
    </row>
    <row r="5" spans="1:17" x14ac:dyDescent="0.2">
      <c r="A5" s="2">
        <v>1000</v>
      </c>
      <c r="B5" s="2">
        <v>600</v>
      </c>
      <c r="C5" s="2">
        <f>A5 * B5</f>
        <v>600000</v>
      </c>
      <c r="D5">
        <v>0.174648</v>
      </c>
      <c r="F5">
        <f>$E$2 * C5</f>
        <v>0.18662276955161627</v>
      </c>
      <c r="O5" s="1"/>
      <c r="P5" s="1"/>
      <c r="Q5" s="1"/>
    </row>
    <row r="6" spans="1:17" x14ac:dyDescent="0.2">
      <c r="A6" s="2">
        <v>1400</v>
      </c>
      <c r="B6" s="2">
        <v>1000</v>
      </c>
      <c r="C6" s="2">
        <f>A6 * B6</f>
        <v>1400000</v>
      </c>
      <c r="D6">
        <v>0.40201399999999998</v>
      </c>
      <c r="F6">
        <f>$E$2 * C6</f>
        <v>0.43545312895377131</v>
      </c>
      <c r="O6" s="2"/>
      <c r="P6" s="2"/>
      <c r="Q6" s="2"/>
    </row>
    <row r="7" spans="1:17" x14ac:dyDescent="0.2">
      <c r="A7" s="2">
        <v>1600</v>
      </c>
      <c r="B7" s="2">
        <v>500</v>
      </c>
      <c r="C7" s="2">
        <f>A7 * B7</f>
        <v>800000</v>
      </c>
      <c r="D7">
        <v>0.272067</v>
      </c>
      <c r="F7">
        <f>$E$2 * C7</f>
        <v>0.24883035940215503</v>
      </c>
      <c r="O7" s="2"/>
      <c r="P7" s="2"/>
      <c r="Q7" s="2"/>
    </row>
    <row r="8" spans="1:17" x14ac:dyDescent="0.2">
      <c r="A8" s="2">
        <v>2000</v>
      </c>
      <c r="B8" s="2">
        <v>1000</v>
      </c>
      <c r="C8" s="2">
        <f>A8 * B8</f>
        <v>2000000</v>
      </c>
      <c r="D8">
        <v>0.64656499999999995</v>
      </c>
      <c r="F8">
        <f>$E$2 * C8</f>
        <v>0.62207589850538758</v>
      </c>
      <c r="O8" s="2"/>
      <c r="P8" s="2"/>
      <c r="Q8" s="2"/>
    </row>
    <row r="9" spans="1:17" x14ac:dyDescent="0.2">
      <c r="A9" s="2"/>
      <c r="B9" s="2"/>
      <c r="C9" s="2"/>
      <c r="O9" s="2"/>
      <c r="P9" s="2"/>
      <c r="Q9" s="2"/>
    </row>
    <row r="10" spans="1:17" x14ac:dyDescent="0.2">
      <c r="A10" s="2"/>
      <c r="B10" s="2"/>
      <c r="C10" s="2"/>
      <c r="O10" s="2"/>
      <c r="P10" s="2"/>
      <c r="Q10" s="2"/>
    </row>
    <row r="11" spans="1:17" x14ac:dyDescent="0.2">
      <c r="A11" s="2"/>
      <c r="B11" s="2"/>
      <c r="C11" s="2"/>
      <c r="O11" s="2"/>
      <c r="P11" s="2"/>
      <c r="Q11" s="2"/>
    </row>
    <row r="12" spans="1:17" x14ac:dyDescent="0.2">
      <c r="A12" s="2"/>
      <c r="B12" s="2"/>
      <c r="C12" s="2"/>
      <c r="O12" s="2"/>
      <c r="P12" s="2"/>
      <c r="Q12" s="2"/>
    </row>
    <row r="13" spans="1:17" x14ac:dyDescent="0.2">
      <c r="A13" s="2"/>
      <c r="B13" s="2"/>
      <c r="C13" s="2"/>
      <c r="O13" s="2"/>
      <c r="P13" s="2"/>
      <c r="Q13" s="2"/>
    </row>
    <row r="14" spans="1:17" x14ac:dyDescent="0.2">
      <c r="A14" s="2"/>
      <c r="B14" s="2"/>
      <c r="C14" s="2"/>
      <c r="O14" s="2"/>
      <c r="P14" s="2"/>
      <c r="Q14" s="2"/>
    </row>
    <row r="15" spans="1:17" x14ac:dyDescent="0.2">
      <c r="A15" s="2"/>
      <c r="B15" s="2"/>
      <c r="C15" s="2"/>
      <c r="O15" s="2"/>
      <c r="P15" s="2"/>
      <c r="Q15" s="2"/>
    </row>
    <row r="16" spans="1:17" x14ac:dyDescent="0.2">
      <c r="A16" s="2"/>
      <c r="B16" s="2"/>
      <c r="C16" s="2"/>
      <c r="E16" s="2"/>
      <c r="F16" s="2"/>
      <c r="G16" s="2"/>
      <c r="H16" s="2"/>
      <c r="O16" s="2"/>
      <c r="P16" s="2"/>
      <c r="Q16" s="2"/>
    </row>
    <row r="17" spans="1:17" x14ac:dyDescent="0.2">
      <c r="A17" s="2"/>
      <c r="B17" s="2"/>
      <c r="C17" s="2"/>
      <c r="E17" s="2"/>
      <c r="F17" s="2"/>
      <c r="G17" s="2"/>
      <c r="H17" s="2"/>
      <c r="O17" s="2"/>
      <c r="P17" s="2"/>
      <c r="Q17" s="2"/>
    </row>
    <row r="18" spans="1:17" x14ac:dyDescent="0.2">
      <c r="E18" s="2"/>
      <c r="F18" s="2"/>
      <c r="G18" s="2"/>
      <c r="H18" s="2"/>
      <c r="O18" s="2"/>
      <c r="P18" s="2"/>
      <c r="Q18" s="2"/>
    </row>
    <row r="19" spans="1:17" x14ac:dyDescent="0.2">
      <c r="E19" s="2"/>
      <c r="F19" s="2"/>
      <c r="G19" s="2"/>
      <c r="H19" s="2"/>
      <c r="O19" s="2"/>
      <c r="P19" s="2"/>
      <c r="Q19" s="2"/>
    </row>
    <row r="20" spans="1:17" x14ac:dyDescent="0.2">
      <c r="E20" s="2"/>
      <c r="F20" s="2"/>
      <c r="G20" s="2"/>
      <c r="H20" s="2"/>
      <c r="O20" s="2"/>
      <c r="P20" s="2"/>
      <c r="Q20" s="2"/>
    </row>
    <row r="21" spans="1:17" x14ac:dyDescent="0.2">
      <c r="E21" s="2"/>
      <c r="F21" s="2"/>
      <c r="G21" s="2"/>
      <c r="H21" s="2"/>
      <c r="O21" s="2"/>
      <c r="P21" s="2"/>
      <c r="Q21" s="2"/>
    </row>
    <row r="22" spans="1:17" x14ac:dyDescent="0.2">
      <c r="E22" s="2"/>
      <c r="F22" s="2"/>
      <c r="G22" s="2"/>
      <c r="H2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3CE9-2AB3-394C-AA96-59F19891ED39}">
  <dimension ref="A1:Q22"/>
  <sheetViews>
    <sheetView workbookViewId="0">
      <selection activeCell="K27" sqref="K27"/>
    </sheetView>
  </sheetViews>
  <sheetFormatPr baseColWidth="10" defaultColWidth="8.83203125" defaultRowHeight="15" x14ac:dyDescent="0.2"/>
  <cols>
    <col min="2" max="2" width="17" customWidth="1"/>
    <col min="3" max="3" width="19.1640625" customWidth="1"/>
    <col min="4" max="4" width="20.83203125" customWidth="1"/>
    <col min="5" max="5" width="20.5" customWidth="1"/>
    <col min="6" max="6" width="26.33203125" customWidth="1"/>
  </cols>
  <sheetData>
    <row r="1" spans="1:17" ht="16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8</v>
      </c>
    </row>
    <row r="2" spans="1:17" x14ac:dyDescent="0.2">
      <c r="A2" s="2">
        <v>500</v>
      </c>
      <c r="B2" s="2">
        <v>500</v>
      </c>
      <c r="C2" s="2">
        <f>A2 * B2</f>
        <v>250000</v>
      </c>
      <c r="D2">
        <v>5.5079000000000003E-2</v>
      </c>
      <c r="E2">
        <f>SUMPRODUCT(C2:C9, D2:D9) / SUMPRODUCT(C2:C9, C2:C9)</f>
        <v>2.5329705263157897E-7</v>
      </c>
      <c r="F2">
        <f>$E$2 * C2</f>
        <v>6.3324263157894745E-2</v>
      </c>
    </row>
    <row r="3" spans="1:17" x14ac:dyDescent="0.2">
      <c r="A3" s="2">
        <v>1000</v>
      </c>
      <c r="B3" s="2">
        <v>250</v>
      </c>
      <c r="C3" s="2">
        <f>A3 * B3</f>
        <v>250000</v>
      </c>
      <c r="D3">
        <v>8.0984E-2</v>
      </c>
      <c r="F3">
        <f>$E$2 * C3</f>
        <v>6.3324263157894745E-2</v>
      </c>
    </row>
    <row r="4" spans="1:17" x14ac:dyDescent="0.2">
      <c r="A4" s="2">
        <v>2000</v>
      </c>
      <c r="B4" s="2">
        <v>125</v>
      </c>
      <c r="C4" s="2">
        <f>A4 * B4</f>
        <v>250000</v>
      </c>
      <c r="D4">
        <v>9.0380000000000002E-2</v>
      </c>
      <c r="F4">
        <f>$E$2 * C4</f>
        <v>6.3324263157894745E-2</v>
      </c>
    </row>
    <row r="5" spans="1:17" x14ac:dyDescent="0.2">
      <c r="A5" s="2">
        <v>500</v>
      </c>
      <c r="B5" s="2">
        <v>500</v>
      </c>
      <c r="C5" s="2">
        <f>A5 * B5</f>
        <v>250000</v>
      </c>
      <c r="D5">
        <v>5.4587999999999998E-2</v>
      </c>
      <c r="F5">
        <f>$E$2 * C5</f>
        <v>6.3324263157894745E-2</v>
      </c>
      <c r="O5" s="1"/>
      <c r="P5" s="1"/>
      <c r="Q5" s="1"/>
    </row>
    <row r="6" spans="1:17" x14ac:dyDescent="0.2">
      <c r="A6" s="2">
        <v>1000</v>
      </c>
      <c r="B6" s="2">
        <v>250</v>
      </c>
      <c r="C6" s="2">
        <f>A6 * B6</f>
        <v>250000</v>
      </c>
      <c r="D6">
        <v>8.2575999999999997E-2</v>
      </c>
      <c r="F6">
        <f>$E$2 * C6</f>
        <v>6.3324263157894745E-2</v>
      </c>
      <c r="O6" s="2"/>
      <c r="P6" s="2"/>
      <c r="Q6" s="2"/>
    </row>
    <row r="7" spans="1:17" x14ac:dyDescent="0.2">
      <c r="A7" s="2">
        <v>2000</v>
      </c>
      <c r="B7" s="2">
        <v>125</v>
      </c>
      <c r="C7" s="2">
        <f>A7 * B7</f>
        <v>250000</v>
      </c>
      <c r="D7">
        <v>8.9051000000000005E-2</v>
      </c>
      <c r="F7">
        <f>$E$2 * C7</f>
        <v>6.3324263157894745E-2</v>
      </c>
      <c r="O7" s="2"/>
      <c r="P7" s="2"/>
      <c r="Q7" s="2"/>
    </row>
    <row r="8" spans="1:17" x14ac:dyDescent="0.2">
      <c r="A8" s="2">
        <v>1000</v>
      </c>
      <c r="B8" s="2">
        <v>1000</v>
      </c>
      <c r="C8" s="2">
        <f>A8 * B8</f>
        <v>1000000</v>
      </c>
      <c r="D8">
        <v>0.24618599999999999</v>
      </c>
      <c r="F8">
        <f>$E$2 * C8</f>
        <v>0.25329705263157898</v>
      </c>
      <c r="O8" s="2"/>
      <c r="P8" s="2"/>
      <c r="Q8" s="2"/>
    </row>
    <row r="9" spans="1:17" x14ac:dyDescent="0.2">
      <c r="A9" s="2">
        <v>1000</v>
      </c>
      <c r="B9" s="2">
        <v>1000</v>
      </c>
      <c r="C9" s="2">
        <f>A9 * B9</f>
        <v>1000000</v>
      </c>
      <c r="D9">
        <v>0.24223</v>
      </c>
      <c r="F9">
        <f>$E$2 * C9</f>
        <v>0.25329705263157898</v>
      </c>
      <c r="O9" s="2"/>
      <c r="P9" s="2"/>
      <c r="Q9" s="2"/>
    </row>
    <row r="10" spans="1:17" x14ac:dyDescent="0.2">
      <c r="A10" s="2"/>
      <c r="B10" s="2"/>
      <c r="C10" s="2"/>
      <c r="O10" s="2"/>
      <c r="P10" s="2"/>
      <c r="Q10" s="2"/>
    </row>
    <row r="11" spans="1:17" x14ac:dyDescent="0.2">
      <c r="A11" s="2"/>
      <c r="B11" s="2"/>
      <c r="C11" s="2"/>
      <c r="O11" s="2"/>
      <c r="P11" s="2"/>
      <c r="Q11" s="2"/>
    </row>
    <row r="12" spans="1:17" x14ac:dyDescent="0.2">
      <c r="A12" s="2"/>
      <c r="B12" s="2"/>
      <c r="C12" s="2"/>
      <c r="O12" s="2"/>
      <c r="P12" s="2"/>
      <c r="Q12" s="2"/>
    </row>
    <row r="13" spans="1:17" x14ac:dyDescent="0.2">
      <c r="A13" s="2"/>
      <c r="B13" s="2"/>
      <c r="C13" s="2"/>
      <c r="O13" s="2"/>
      <c r="P13" s="2"/>
      <c r="Q13" s="2"/>
    </row>
    <row r="14" spans="1:17" x14ac:dyDescent="0.2">
      <c r="A14" s="2"/>
      <c r="B14" s="2"/>
      <c r="C14" s="2"/>
      <c r="O14" s="2"/>
      <c r="P14" s="2"/>
      <c r="Q14" s="2"/>
    </row>
    <row r="15" spans="1:17" x14ac:dyDescent="0.2">
      <c r="A15" s="2"/>
      <c r="B15" s="2"/>
      <c r="C15" s="2"/>
      <c r="O15" s="2"/>
      <c r="P15" s="2"/>
      <c r="Q15" s="2"/>
    </row>
    <row r="16" spans="1:17" x14ac:dyDescent="0.2">
      <c r="A16" s="2"/>
      <c r="B16" s="2"/>
      <c r="C16" s="2"/>
      <c r="E16" s="2"/>
      <c r="F16" s="2"/>
      <c r="G16" s="2"/>
      <c r="H16" s="2"/>
      <c r="O16" s="2"/>
      <c r="P16" s="2"/>
      <c r="Q16" s="2"/>
    </row>
    <row r="17" spans="1:17" x14ac:dyDescent="0.2">
      <c r="A17" s="2"/>
      <c r="B17" s="2"/>
      <c r="C17" s="2"/>
      <c r="E17" s="2"/>
      <c r="F17" s="2"/>
      <c r="G17" s="2"/>
      <c r="H17" s="2"/>
      <c r="O17" s="2"/>
      <c r="P17" s="2"/>
      <c r="Q17" s="2"/>
    </row>
    <row r="18" spans="1:17" x14ac:dyDescent="0.2">
      <c r="E18" s="2"/>
      <c r="F18" s="2"/>
      <c r="G18" s="2"/>
      <c r="H18" s="2"/>
      <c r="O18" s="2"/>
      <c r="P18" s="2"/>
      <c r="Q18" s="2"/>
    </row>
    <row r="19" spans="1:17" x14ac:dyDescent="0.2">
      <c r="E19" s="2"/>
      <c r="F19" s="2"/>
      <c r="G19" s="2"/>
      <c r="H19" s="2"/>
      <c r="O19" s="2"/>
      <c r="P19" s="2"/>
      <c r="Q19" s="2"/>
    </row>
    <row r="20" spans="1:17" x14ac:dyDescent="0.2">
      <c r="E20" s="2"/>
      <c r="F20" s="2"/>
      <c r="G20" s="2"/>
      <c r="H20" s="2"/>
      <c r="O20" s="2"/>
      <c r="P20" s="2"/>
      <c r="Q20" s="2"/>
    </row>
    <row r="21" spans="1:17" x14ac:dyDescent="0.2">
      <c r="E21" s="2"/>
      <c r="F21" s="2"/>
      <c r="G21" s="2"/>
      <c r="H21" s="2"/>
      <c r="O21" s="2"/>
      <c r="P21" s="2"/>
      <c r="Q21" s="2"/>
    </row>
    <row r="22" spans="1:17" x14ac:dyDescent="0.2">
      <c r="E22" s="2"/>
      <c r="F22" s="2"/>
      <c r="G22" s="2"/>
      <c r="H22" s="2"/>
    </row>
  </sheetData>
  <sortState xmlns:xlrd2="http://schemas.microsoft.com/office/spreadsheetml/2017/richdata2" ref="A2:F9">
    <sortCondition ref="C2:C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Constant N</vt:lpstr>
      <vt:lpstr>Constant K</vt:lpstr>
      <vt:lpstr>Vary both (2)</vt:lpstr>
      <vt:lpstr>Vary 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Roquette</dc:creator>
  <cp:lastModifiedBy>Kowta, Alekya</cp:lastModifiedBy>
  <dcterms:created xsi:type="dcterms:W3CDTF">2025-11-17T20:22:06Z</dcterms:created>
  <dcterms:modified xsi:type="dcterms:W3CDTF">2025-11-19T20:12:57Z</dcterms:modified>
</cp:coreProperties>
</file>